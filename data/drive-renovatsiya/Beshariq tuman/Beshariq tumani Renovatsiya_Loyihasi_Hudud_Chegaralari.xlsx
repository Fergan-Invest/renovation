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40" windowWidth="27495" windowHeight="13995"/>
  </bookViews>
  <sheets>
    <sheet name="Xalqlar Do'stligi MFY" sheetId="1" r:id="rId1"/>
    <sheet name="Fayziobod MFY" sheetId="6" r:id="rId2"/>
    <sheet name="Yangi Hayot MFY" sheetId="5" r:id="rId3"/>
    <sheet name="Hamid Olimjon MFY" sheetId="4" r:id="rId4"/>
  </sheets>
  <calcPr calcId="145621"/>
</workbook>
</file>

<file path=xl/calcChain.xml><?xml version="1.0" encoding="utf-8"?>
<calcChain xmlns="http://schemas.openxmlformats.org/spreadsheetml/2006/main">
  <c r="D17" i="4" l="1"/>
  <c r="D10" i="4"/>
  <c r="D15" i="5"/>
  <c r="D40" i="6"/>
  <c r="D32" i="6"/>
  <c r="D26" i="6"/>
  <c r="D12" i="6"/>
  <c r="D32" i="1" l="1"/>
  <c r="D24" i="1"/>
</calcChain>
</file>

<file path=xl/sharedStrings.xml><?xml version="1.0" encoding="utf-8"?>
<sst xmlns="http://schemas.openxmlformats.org/spreadsheetml/2006/main" count="186" uniqueCount="87">
  <si>
    <t>T/r</t>
  </si>
  <si>
    <t>Burilish koordinata nuqtalari</t>
  </si>
  <si>
    <t>Masofa
(metr)</t>
  </si>
  <si>
    <t>Izoh</t>
  </si>
  <si>
    <t>dan</t>
  </si>
  <si>
    <t>gacha</t>
  </si>
  <si>
    <t>40°26'26.11"С 70°35'26.07"В</t>
  </si>
  <si>
    <t>40°26'26.21"С 70°35'37.58"В</t>
  </si>
  <si>
    <t>40°26'22.68"С 70°35'40.03"В</t>
  </si>
  <si>
    <t>40°26'22.08"С 70°35'37.12"В</t>
  </si>
  <si>
    <t>40°26'18.36"С 70°35'38.46"В</t>
  </si>
  <si>
    <t>40°26'19.32"С 70°35'42.34"В</t>
  </si>
  <si>
    <t>40°26'16.21"С 70°35'43.47"В</t>
  </si>
  <si>
    <t>40°26'15.15"С 70°35'41.98"В</t>
  </si>
  <si>
    <t>40°26'11.96"С 70°35'42.86"В</t>
  </si>
  <si>
    <t>40°26'11.52"С 70°35'41.70"В</t>
  </si>
  <si>
    <t>40°26'8.66"С 70°35'42.39"В</t>
  </si>
  <si>
    <t>40°26'6.28"С 70°35'36.63"В</t>
  </si>
  <si>
    <t>40°26'7.56"С 70°35'35.51"В</t>
  </si>
  <si>
    <t>40°26'5.43"С 70°35'30.11"В</t>
  </si>
  <si>
    <t>40°26'10.46"С 70°35'26.61"В</t>
  </si>
  <si>
    <t>40°26'13.83"С 70°35'34.76"В</t>
  </si>
  <si>
    <t>40°26'23.33"С 70°35'31.80"В</t>
  </si>
  <si>
    <t>40°26'22.52"С 70°35'26.49"В</t>
  </si>
  <si>
    <t>Jami perimetr (metr):</t>
  </si>
  <si>
    <t>40°26'7.81"С 70°35'20.25"В</t>
  </si>
  <si>
    <t>40°26'9.22"С 70°35'23.52"В</t>
  </si>
  <si>
    <t>40°26'6.57"С 70°35'25.38"В</t>
  </si>
  <si>
    <t>40°26'4.92"С 70°35'21.16"В</t>
  </si>
  <si>
    <t>40°26'5.40"С 70°35'20.85"В</t>
  </si>
  <si>
    <t>40°26'5.89"С 70°35'21.76"В</t>
  </si>
  <si>
    <t>40°26'11.18"С 70°36'26.74"В</t>
  </si>
  <si>
    <t>40°26'11.48"С 70°36'28.36"В</t>
  </si>
  <si>
    <t>40°26'10.49"С 70°36'28.39"В</t>
  </si>
  <si>
    <t>40°26'10.35"С 70°36'27.80"В</t>
  </si>
  <si>
    <t>40°26'10.50"С 70°36'27.71"В</t>
  </si>
  <si>
    <t>40°26'10.34"С 70°36'26.96"В</t>
  </si>
  <si>
    <t>40°26'0.33"С 70°36'36.59"В</t>
  </si>
  <si>
    <t>40°26'1.36"С 70°36'40.40"В</t>
  </si>
  <si>
    <t>40°26'0.70"С 70°36'40.73"В</t>
  </si>
  <si>
    <t>40°26'0.95"С 70°36'42.15"В</t>
  </si>
  <si>
    <t>40°25'58.49"С 70°36'43.34"В</t>
  </si>
  <si>
    <t>40°25'58.16"С 70°36'42.29"В</t>
  </si>
  <si>
    <t>40°25'58.55"С 70°36'41.99"В</t>
  </si>
  <si>
    <t>40°25'58.14"С 70°36'40.80"В</t>
  </si>
  <si>
    <t>40°25'57.44"С 70°36'41.10"В</t>
  </si>
  <si>
    <t>40°25'56.95"С 70°36'39.48"В</t>
  </si>
  <si>
    <t>40°25'57.96"С 70°36'38.88"В</t>
  </si>
  <si>
    <t>40°25'57.77"С 70°36'37.95"В</t>
  </si>
  <si>
    <t>40°26'4.80"С 70°36'37.87"В</t>
  </si>
  <si>
    <t>40°26'5.54"С 70°36'41.40"В</t>
  </si>
  <si>
    <t>40°26'13.72"С 70°36'54.17"В</t>
  </si>
  <si>
    <t>40°26'3.53"С 70°36'38.32"В</t>
  </si>
  <si>
    <t>40°26'14.05"С 70°36'52.09"В</t>
  </si>
  <si>
    <t>40°26'14.50"С 70°36'53.68"В</t>
  </si>
  <si>
    <t>40°26'4.24"С 70°36'41.74"В</t>
  </si>
  <si>
    <t>40°26'13.73"С 70°36'55.52"В</t>
  </si>
  <si>
    <t>40°26'12.71"С 70°36'55.75"В</t>
  </si>
  <si>
    <t>40°26'12.87"С 70°36'51.91"В</t>
  </si>
  <si>
    <t>40°26'22.40"С 70°38'7.72"В</t>
  </si>
  <si>
    <t>40°26'23.42"С 70°38'9.40"В</t>
  </si>
  <si>
    <t>40°26'24.72"С 70°38'15.75"В</t>
  </si>
  <si>
    <t>40°26'23.30"С 70°38'16.08"В</t>
  </si>
  <si>
    <t>40°26'23.14"С 70°38'18.30"В</t>
  </si>
  <si>
    <t>40°26'21.69"С 70°38'18.16"В</t>
  </si>
  <si>
    <t>40°26'21.70"С 70°38'10.54"В</t>
  </si>
  <si>
    <t>40°26'20.63"С 70°38'10.35"В</t>
  </si>
  <si>
    <t>40°26'20.63"С 70°38'8.74"В</t>
  </si>
  <si>
    <t>40°26'30.86"С 70°36'21.86"В</t>
  </si>
  <si>
    <t>40°26'30.99"С 70°36'23.79"В</t>
  </si>
  <si>
    <t>40°26'28.87"С 70°36'24.79"В</t>
  </si>
  <si>
    <t>40°26'28.87"С 70°36'21.87"В</t>
  </si>
  <si>
    <t>40°26'23.73"С 70°36'27.25"В</t>
  </si>
  <si>
    <t>40°26'24.20"С 70°36'28.38"В</t>
  </si>
  <si>
    <t>40°26'23.10"С 70°36'29.11"В</t>
  </si>
  <si>
    <t>40°26'22.63"С 70°36'29.18"В</t>
  </si>
  <si>
    <t>40°26'22.51"С 70°36'27.47"В</t>
  </si>
  <si>
    <t>Xalqlar Do‘stligi MFY Xalqlar Do'stiligi ko'chasi 1-uchastka</t>
  </si>
  <si>
    <t>Xalqlar Do‘stligi MFY Xalqlar Do'stiligi ko'chasi 2-uchastka</t>
  </si>
  <si>
    <t>Fayziobod MFY Oltin Vodiy 81-uy</t>
  </si>
  <si>
    <t>Fayziobod MFY Charxiy ko'chasi</t>
  </si>
  <si>
    <t>Fayziobod MFY Cho'lpon ko'chasi</t>
  </si>
  <si>
    <t>Fayziobod MFY Oltin Vodiy 140-uy</t>
  </si>
  <si>
    <t>Yangi Hayot MFY Sahovat ko'chasi</t>
  </si>
  <si>
    <t>Hamid Olimjon MFY Sirdaryo ko'chasi 9-uy</t>
  </si>
  <si>
    <t>Hamid Olimjon MFY Sirdaryo ko'chasi 11-uy</t>
  </si>
  <si>
    <r>
      <t xml:space="preserve">Beshariq tumanidagi hududni kompleks rivojlantirish va renovatsiya loyihasini
amalga oshirish mumkin bo‘lgan hududning chegaralari bo‘yicha
</t>
    </r>
    <r>
      <rPr>
        <b/>
        <sz val="14"/>
        <color rgb="FFFF0000"/>
        <rFont val="Times New Roman"/>
        <family val="1"/>
        <charset val="204"/>
      </rPr>
      <t>MA’LUMOT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</si>
</sst>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i/>
      <sz val="9"/>
      <color rgb="FF333333"/>
      <name val="Calibri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b/>
      <sz val="14"/>
      <color rgb="FFFF000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9FAFB"/>
      </patternFill>
    </fill>
    <fill>
      <patternFill patternType="solid">
        <fgColor theme="0"/>
        <bgColor rgb="FFEDEDED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D9E1F2"/>
      </patternFill>
    </fill>
    <fill>
      <patternFill patternType="solid">
        <fgColor theme="6" tint="0.59999389629810485"/>
        <bgColor rgb="FF1F4E7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right" vertical="center"/>
    </xf>
    <xf numFmtId="0" fontId="8" fillId="4" borderId="1" xfId="0" applyFont="1" applyFill="1" applyBorder="1"/>
    <xf numFmtId="3" fontId="7" fillId="4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5" fillId="4" borderId="1" xfId="0" applyFont="1" applyFill="1" applyBorder="1"/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pane ySplit="4" topLeftCell="A8" activePane="bottomLeft" state="frozen"/>
      <selection pane="bottomLeft" sqref="A1:E2"/>
    </sheetView>
  </sheetViews>
  <sheetFormatPr defaultRowHeight="15" x14ac:dyDescent="0.25"/>
  <cols>
    <col min="1" max="1" width="8" customWidth="1"/>
    <col min="2" max="3" width="32" customWidth="1"/>
    <col min="4" max="4" width="16" customWidth="1"/>
    <col min="5" max="5" width="20" customWidth="1"/>
  </cols>
  <sheetData>
    <row r="1" spans="1:5" ht="24.95" customHeight="1" x14ac:dyDescent="0.25">
      <c r="A1" s="14" t="s">
        <v>86</v>
      </c>
      <c r="B1" s="14"/>
      <c r="C1" s="14"/>
      <c r="D1" s="14"/>
      <c r="E1" s="14"/>
    </row>
    <row r="2" spans="1:5" ht="62.25" customHeight="1" x14ac:dyDescent="0.25">
      <c r="A2" s="14"/>
      <c r="B2" s="14"/>
      <c r="C2" s="14"/>
      <c r="D2" s="14"/>
      <c r="E2" s="14"/>
    </row>
    <row r="3" spans="1:5" s="3" customFormat="1" ht="21.95" customHeight="1" x14ac:dyDescent="0.25">
      <c r="A3" s="17" t="s">
        <v>0</v>
      </c>
      <c r="B3" s="18" t="s">
        <v>1</v>
      </c>
      <c r="C3" s="19"/>
      <c r="D3" s="20" t="s">
        <v>2</v>
      </c>
      <c r="E3" s="20" t="s">
        <v>3</v>
      </c>
    </row>
    <row r="4" spans="1:5" s="3" customFormat="1" ht="21.95" customHeight="1" x14ac:dyDescent="0.25">
      <c r="A4" s="21"/>
      <c r="B4" s="22" t="s">
        <v>4</v>
      </c>
      <c r="C4" s="22" t="s">
        <v>5</v>
      </c>
      <c r="D4" s="23"/>
      <c r="E4" s="23"/>
    </row>
    <row r="5" spans="1:5" ht="42" customHeight="1" x14ac:dyDescent="0.25">
      <c r="A5" s="24" t="s">
        <v>77</v>
      </c>
      <c r="B5" s="25"/>
      <c r="C5" s="25"/>
      <c r="D5" s="25"/>
      <c r="E5" s="25"/>
    </row>
    <row r="6" spans="1:5" ht="20.100000000000001" customHeight="1" x14ac:dyDescent="0.25">
      <c r="A6" s="4">
        <v>1</v>
      </c>
      <c r="B6" s="4" t="s">
        <v>6</v>
      </c>
      <c r="C6" s="4" t="s">
        <v>7</v>
      </c>
      <c r="D6" s="5">
        <v>269</v>
      </c>
      <c r="E6" s="6"/>
    </row>
    <row r="7" spans="1:5" ht="20.100000000000001" customHeight="1" x14ac:dyDescent="0.25">
      <c r="A7" s="7">
        <v>2</v>
      </c>
      <c r="B7" s="7" t="s">
        <v>7</v>
      </c>
      <c r="C7" s="7" t="s">
        <v>8</v>
      </c>
      <c r="D7" s="8">
        <v>124</v>
      </c>
      <c r="E7" s="9"/>
    </row>
    <row r="8" spans="1:5" ht="20.100000000000001" customHeight="1" x14ac:dyDescent="0.25">
      <c r="A8" s="4">
        <v>3</v>
      </c>
      <c r="B8" s="4" t="s">
        <v>8</v>
      </c>
      <c r="C8" s="4" t="s">
        <v>9</v>
      </c>
      <c r="D8" s="5">
        <v>79</v>
      </c>
      <c r="E8" s="6"/>
    </row>
    <row r="9" spans="1:5" ht="20.100000000000001" customHeight="1" x14ac:dyDescent="0.25">
      <c r="A9" s="7">
        <v>4</v>
      </c>
      <c r="B9" s="7" t="s">
        <v>9</v>
      </c>
      <c r="C9" s="7" t="s">
        <v>10</v>
      </c>
      <c r="D9" s="8">
        <v>119</v>
      </c>
      <c r="E9" s="9"/>
    </row>
    <row r="10" spans="1:5" ht="20.100000000000001" customHeight="1" x14ac:dyDescent="0.25">
      <c r="A10" s="4">
        <v>5</v>
      </c>
      <c r="B10" s="4" t="s">
        <v>10</v>
      </c>
      <c r="C10" s="4" t="s">
        <v>11</v>
      </c>
      <c r="D10" s="5">
        <v>97</v>
      </c>
      <c r="E10" s="6"/>
    </row>
    <row r="11" spans="1:5" ht="20.100000000000001" customHeight="1" x14ac:dyDescent="0.25">
      <c r="A11" s="7">
        <v>6</v>
      </c>
      <c r="B11" s="7" t="s">
        <v>11</v>
      </c>
      <c r="C11" s="7" t="s">
        <v>12</v>
      </c>
      <c r="D11" s="8">
        <v>99</v>
      </c>
      <c r="E11" s="9"/>
    </row>
    <row r="12" spans="1:5" ht="20.100000000000001" customHeight="1" x14ac:dyDescent="0.25">
      <c r="A12" s="4">
        <v>7</v>
      </c>
      <c r="B12" s="4" t="s">
        <v>12</v>
      </c>
      <c r="C12" s="4" t="s">
        <v>13</v>
      </c>
      <c r="D12" s="5">
        <v>48</v>
      </c>
      <c r="E12" s="6"/>
    </row>
    <row r="13" spans="1:5" ht="20.100000000000001" customHeight="1" x14ac:dyDescent="0.25">
      <c r="A13" s="7">
        <v>8</v>
      </c>
      <c r="B13" s="7" t="s">
        <v>13</v>
      </c>
      <c r="C13" s="7" t="s">
        <v>14</v>
      </c>
      <c r="D13" s="8">
        <v>100</v>
      </c>
      <c r="E13" s="9"/>
    </row>
    <row r="14" spans="1:5" ht="20.100000000000001" customHeight="1" x14ac:dyDescent="0.25">
      <c r="A14" s="4">
        <v>9</v>
      </c>
      <c r="B14" s="4" t="s">
        <v>14</v>
      </c>
      <c r="C14" s="4" t="s">
        <v>15</v>
      </c>
      <c r="D14" s="5">
        <v>31</v>
      </c>
      <c r="E14" s="6"/>
    </row>
    <row r="15" spans="1:5" ht="20.100000000000001" customHeight="1" x14ac:dyDescent="0.25">
      <c r="A15" s="7">
        <v>10</v>
      </c>
      <c r="B15" s="7" t="s">
        <v>15</v>
      </c>
      <c r="C15" s="7" t="s">
        <v>16</v>
      </c>
      <c r="D15" s="8">
        <v>89</v>
      </c>
      <c r="E15" s="9"/>
    </row>
    <row r="16" spans="1:5" ht="20.100000000000001" customHeight="1" x14ac:dyDescent="0.25">
      <c r="A16" s="4">
        <v>11</v>
      </c>
      <c r="B16" s="4" t="s">
        <v>16</v>
      </c>
      <c r="C16" s="4" t="s">
        <v>17</v>
      </c>
      <c r="D16" s="5">
        <v>154</v>
      </c>
      <c r="E16" s="6"/>
    </row>
    <row r="17" spans="1:5" ht="20.100000000000001" customHeight="1" x14ac:dyDescent="0.25">
      <c r="A17" s="7">
        <v>12</v>
      </c>
      <c r="B17" s="7" t="s">
        <v>17</v>
      </c>
      <c r="C17" s="7" t="s">
        <v>18</v>
      </c>
      <c r="D17" s="8">
        <v>47</v>
      </c>
      <c r="E17" s="9"/>
    </row>
    <row r="18" spans="1:5" ht="20.100000000000001" customHeight="1" x14ac:dyDescent="0.25">
      <c r="A18" s="4">
        <v>13</v>
      </c>
      <c r="B18" s="4" t="s">
        <v>18</v>
      </c>
      <c r="C18" s="4" t="s">
        <v>19</v>
      </c>
      <c r="D18" s="5">
        <v>143</v>
      </c>
      <c r="E18" s="6"/>
    </row>
    <row r="19" spans="1:5" ht="20.100000000000001" customHeight="1" x14ac:dyDescent="0.25">
      <c r="A19" s="7">
        <v>14</v>
      </c>
      <c r="B19" s="7" t="s">
        <v>19</v>
      </c>
      <c r="C19" s="7" t="s">
        <v>20</v>
      </c>
      <c r="D19" s="8">
        <v>176</v>
      </c>
      <c r="E19" s="9"/>
    </row>
    <row r="20" spans="1:5" ht="20.100000000000001" customHeight="1" x14ac:dyDescent="0.25">
      <c r="A20" s="4">
        <v>15</v>
      </c>
      <c r="B20" s="4" t="s">
        <v>20</v>
      </c>
      <c r="C20" s="4" t="s">
        <v>21</v>
      </c>
      <c r="D20" s="5">
        <v>218</v>
      </c>
      <c r="E20" s="6"/>
    </row>
    <row r="21" spans="1:5" ht="20.100000000000001" customHeight="1" x14ac:dyDescent="0.25">
      <c r="A21" s="7">
        <v>16</v>
      </c>
      <c r="B21" s="7" t="s">
        <v>21</v>
      </c>
      <c r="C21" s="7" t="s">
        <v>22</v>
      </c>
      <c r="D21" s="8">
        <v>302</v>
      </c>
      <c r="E21" s="9"/>
    </row>
    <row r="22" spans="1:5" ht="20.100000000000001" customHeight="1" x14ac:dyDescent="0.25">
      <c r="A22" s="4">
        <v>17</v>
      </c>
      <c r="B22" s="4" t="s">
        <v>22</v>
      </c>
      <c r="C22" s="4" t="s">
        <v>23</v>
      </c>
      <c r="D22" s="5">
        <v>127</v>
      </c>
      <c r="E22" s="6"/>
    </row>
    <row r="23" spans="1:5" ht="20.100000000000001" customHeight="1" x14ac:dyDescent="0.25">
      <c r="A23" s="7">
        <v>18</v>
      </c>
      <c r="B23" s="7" t="s">
        <v>23</v>
      </c>
      <c r="C23" s="7" t="s">
        <v>6</v>
      </c>
      <c r="D23" s="8">
        <v>112</v>
      </c>
      <c r="E23" s="9"/>
    </row>
    <row r="24" spans="1:5" ht="21.95" customHeight="1" x14ac:dyDescent="0.25">
      <c r="A24" s="10" t="s">
        <v>24</v>
      </c>
      <c r="B24" s="11"/>
      <c r="C24" s="11"/>
      <c r="D24" s="12">
        <f>SUM(D6:D23)</f>
        <v>2334</v>
      </c>
      <c r="E24" s="13"/>
    </row>
    <row r="25" spans="1:5" ht="21.95" customHeight="1" x14ac:dyDescent="0.25">
      <c r="A25" s="24" t="s">
        <v>78</v>
      </c>
      <c r="B25" s="25"/>
      <c r="C25" s="25"/>
      <c r="D25" s="25"/>
      <c r="E25" s="25"/>
    </row>
    <row r="26" spans="1:5" ht="20.100000000000001" customHeight="1" x14ac:dyDescent="0.25">
      <c r="A26" s="4">
        <v>1</v>
      </c>
      <c r="B26" s="4" t="s">
        <v>25</v>
      </c>
      <c r="C26" s="4" t="s">
        <v>26</v>
      </c>
      <c r="D26" s="5">
        <v>88</v>
      </c>
      <c r="E26" s="6"/>
    </row>
    <row r="27" spans="1:5" ht="20.100000000000001" customHeight="1" x14ac:dyDescent="0.25">
      <c r="A27" s="7">
        <v>2</v>
      </c>
      <c r="B27" s="7" t="s">
        <v>26</v>
      </c>
      <c r="C27" s="7" t="s">
        <v>27</v>
      </c>
      <c r="D27" s="8">
        <v>93</v>
      </c>
      <c r="E27" s="9"/>
    </row>
    <row r="28" spans="1:5" ht="20.100000000000001" customHeight="1" x14ac:dyDescent="0.25">
      <c r="A28" s="4">
        <v>3</v>
      </c>
      <c r="B28" s="4" t="s">
        <v>27</v>
      </c>
      <c r="C28" s="4" t="s">
        <v>28</v>
      </c>
      <c r="D28" s="5">
        <v>111</v>
      </c>
      <c r="E28" s="6"/>
    </row>
    <row r="29" spans="1:5" ht="20.100000000000001" customHeight="1" x14ac:dyDescent="0.25">
      <c r="A29" s="7">
        <v>4</v>
      </c>
      <c r="B29" s="7" t="s">
        <v>28</v>
      </c>
      <c r="C29" s="7" t="s">
        <v>29</v>
      </c>
      <c r="D29" s="8">
        <v>16</v>
      </c>
      <c r="E29" s="9"/>
    </row>
    <row r="30" spans="1:5" ht="20.100000000000001" customHeight="1" x14ac:dyDescent="0.25">
      <c r="A30" s="4">
        <v>5</v>
      </c>
      <c r="B30" s="4" t="s">
        <v>29</v>
      </c>
      <c r="C30" s="4" t="s">
        <v>30</v>
      </c>
      <c r="D30" s="5">
        <v>27</v>
      </c>
      <c r="E30" s="6"/>
    </row>
    <row r="31" spans="1:5" ht="20.100000000000001" customHeight="1" x14ac:dyDescent="0.25">
      <c r="A31" s="7">
        <v>6</v>
      </c>
      <c r="B31" s="7" t="s">
        <v>30</v>
      </c>
      <c r="C31" s="7" t="s">
        <v>25</v>
      </c>
      <c r="D31" s="8">
        <v>67</v>
      </c>
      <c r="E31" s="9"/>
    </row>
    <row r="32" spans="1:5" ht="21.95" customHeight="1" x14ac:dyDescent="0.25">
      <c r="A32" s="10" t="s">
        <v>24</v>
      </c>
      <c r="B32" s="11"/>
      <c r="C32" s="11"/>
      <c r="D32" s="12">
        <f>SUM(D26:D31)</f>
        <v>402</v>
      </c>
      <c r="E32" s="13"/>
    </row>
    <row r="33" spans="1:5" x14ac:dyDescent="0.25">
      <c r="A33" s="1"/>
      <c r="B33" s="1"/>
      <c r="C33" s="1"/>
      <c r="D33" s="1"/>
      <c r="E33" s="1"/>
    </row>
  </sheetData>
  <mergeCells count="10">
    <mergeCell ref="A33:E33"/>
    <mergeCell ref="A24:C24"/>
    <mergeCell ref="E3:E4"/>
    <mergeCell ref="A5:E5"/>
    <mergeCell ref="B3:C3"/>
    <mergeCell ref="A32:C32"/>
    <mergeCell ref="A3:A4"/>
    <mergeCell ref="A25:E25"/>
    <mergeCell ref="D3:D4"/>
    <mergeCell ref="A1:E2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>
      <selection sqref="A1:E2"/>
    </sheetView>
  </sheetViews>
  <sheetFormatPr defaultRowHeight="15" x14ac:dyDescent="0.25"/>
  <cols>
    <col min="1" max="1" width="8" customWidth="1"/>
    <col min="2" max="3" width="32" customWidth="1"/>
    <col min="4" max="4" width="16" customWidth="1"/>
    <col min="5" max="5" width="20" customWidth="1"/>
  </cols>
  <sheetData>
    <row r="1" spans="1:5" ht="24.95" customHeight="1" x14ac:dyDescent="0.25">
      <c r="A1" s="14" t="s">
        <v>86</v>
      </c>
      <c r="B1" s="14"/>
      <c r="C1" s="14"/>
      <c r="D1" s="14"/>
      <c r="E1" s="14"/>
    </row>
    <row r="2" spans="1:5" ht="62.25" customHeight="1" x14ac:dyDescent="0.25">
      <c r="A2" s="14"/>
      <c r="B2" s="14"/>
      <c r="C2" s="14"/>
      <c r="D2" s="14"/>
      <c r="E2" s="14"/>
    </row>
    <row r="3" spans="1:5" s="3" customFormat="1" ht="21.95" customHeight="1" x14ac:dyDescent="0.25">
      <c r="A3" s="26" t="s">
        <v>0</v>
      </c>
      <c r="B3" s="26" t="s">
        <v>1</v>
      </c>
      <c r="C3" s="26"/>
      <c r="D3" s="26" t="s">
        <v>2</v>
      </c>
      <c r="E3" s="26" t="s">
        <v>3</v>
      </c>
    </row>
    <row r="4" spans="1:5" s="3" customFormat="1" ht="21.95" customHeight="1" x14ac:dyDescent="0.25">
      <c r="A4" s="26"/>
      <c r="B4" s="27" t="s">
        <v>4</v>
      </c>
      <c r="C4" s="27" t="s">
        <v>5</v>
      </c>
      <c r="D4" s="26"/>
      <c r="E4" s="26"/>
    </row>
    <row r="5" spans="1:5" ht="21.95" customHeight="1" x14ac:dyDescent="0.25">
      <c r="A5" s="24" t="s">
        <v>79</v>
      </c>
      <c r="B5" s="25"/>
      <c r="C5" s="25"/>
      <c r="D5" s="25"/>
      <c r="E5" s="25"/>
    </row>
    <row r="6" spans="1:5" ht="20.100000000000001" customHeight="1" x14ac:dyDescent="0.25">
      <c r="A6" s="4">
        <v>1</v>
      </c>
      <c r="B6" s="4" t="s">
        <v>31</v>
      </c>
      <c r="C6" s="4" t="s">
        <v>32</v>
      </c>
      <c r="D6" s="5">
        <v>39</v>
      </c>
      <c r="E6" s="6"/>
    </row>
    <row r="7" spans="1:5" ht="20.100000000000001" customHeight="1" x14ac:dyDescent="0.25">
      <c r="A7" s="7">
        <v>2</v>
      </c>
      <c r="B7" s="7" t="s">
        <v>32</v>
      </c>
      <c r="C7" s="7" t="s">
        <v>33</v>
      </c>
      <c r="D7" s="8">
        <v>30</v>
      </c>
      <c r="E7" s="9"/>
    </row>
    <row r="8" spans="1:5" ht="20.100000000000001" customHeight="1" x14ac:dyDescent="0.25">
      <c r="A8" s="4">
        <v>3</v>
      </c>
      <c r="B8" s="4" t="s">
        <v>33</v>
      </c>
      <c r="C8" s="4" t="s">
        <v>34</v>
      </c>
      <c r="D8" s="5">
        <v>15</v>
      </c>
      <c r="E8" s="6"/>
    </row>
    <row r="9" spans="1:5" ht="20.100000000000001" customHeight="1" x14ac:dyDescent="0.25">
      <c r="A9" s="7">
        <v>4</v>
      </c>
      <c r="B9" s="7" t="s">
        <v>34</v>
      </c>
      <c r="C9" s="7" t="s">
        <v>35</v>
      </c>
      <c r="D9" s="8">
        <v>6</v>
      </c>
      <c r="E9" s="9"/>
    </row>
    <row r="10" spans="1:5" ht="20.100000000000001" customHeight="1" x14ac:dyDescent="0.25">
      <c r="A10" s="4">
        <v>5</v>
      </c>
      <c r="B10" s="4" t="s">
        <v>35</v>
      </c>
      <c r="C10" s="4" t="s">
        <v>36</v>
      </c>
      <c r="D10" s="5">
        <v>18</v>
      </c>
      <c r="E10" s="6"/>
    </row>
    <row r="11" spans="1:5" ht="20.100000000000001" customHeight="1" x14ac:dyDescent="0.25">
      <c r="A11" s="7">
        <v>6</v>
      </c>
      <c r="B11" s="7" t="s">
        <v>36</v>
      </c>
      <c r="C11" s="7" t="s">
        <v>31</v>
      </c>
      <c r="D11" s="8">
        <v>26</v>
      </c>
      <c r="E11" s="9"/>
    </row>
    <row r="12" spans="1:5" ht="21.95" customHeight="1" x14ac:dyDescent="0.25">
      <c r="A12" s="10" t="s">
        <v>24</v>
      </c>
      <c r="B12" s="15"/>
      <c r="C12" s="15"/>
      <c r="D12" s="12">
        <f>SUM(D6:D11)</f>
        <v>134</v>
      </c>
      <c r="E12" s="16"/>
    </row>
    <row r="13" spans="1:5" ht="21.95" customHeight="1" x14ac:dyDescent="0.25">
      <c r="A13" s="24" t="s">
        <v>81</v>
      </c>
      <c r="B13" s="25"/>
      <c r="C13" s="25"/>
      <c r="D13" s="25"/>
      <c r="E13" s="25"/>
    </row>
    <row r="14" spans="1:5" ht="20.100000000000001" customHeight="1" x14ac:dyDescent="0.25">
      <c r="A14" s="4">
        <v>1</v>
      </c>
      <c r="B14" s="4" t="s">
        <v>37</v>
      </c>
      <c r="C14" s="4" t="s">
        <v>38</v>
      </c>
      <c r="D14" s="5">
        <v>95</v>
      </c>
      <c r="E14" s="6"/>
    </row>
    <row r="15" spans="1:5" ht="20.100000000000001" customHeight="1" x14ac:dyDescent="0.25">
      <c r="A15" s="7">
        <v>2</v>
      </c>
      <c r="B15" s="7" t="s">
        <v>38</v>
      </c>
      <c r="C15" s="7" t="s">
        <v>39</v>
      </c>
      <c r="D15" s="8">
        <v>22</v>
      </c>
      <c r="E15" s="9"/>
    </row>
    <row r="16" spans="1:5" ht="20.100000000000001" customHeight="1" x14ac:dyDescent="0.25">
      <c r="A16" s="4">
        <v>3</v>
      </c>
      <c r="B16" s="4" t="s">
        <v>39</v>
      </c>
      <c r="C16" s="4" t="s">
        <v>40</v>
      </c>
      <c r="D16" s="5">
        <v>34</v>
      </c>
      <c r="E16" s="6"/>
    </row>
    <row r="17" spans="1:5" ht="20.100000000000001" customHeight="1" x14ac:dyDescent="0.25">
      <c r="A17" s="7">
        <v>4</v>
      </c>
      <c r="B17" s="7" t="s">
        <v>40</v>
      </c>
      <c r="C17" s="7" t="s">
        <v>41</v>
      </c>
      <c r="D17" s="8">
        <v>81</v>
      </c>
      <c r="E17" s="9"/>
    </row>
    <row r="18" spans="1:5" ht="20.100000000000001" customHeight="1" x14ac:dyDescent="0.25">
      <c r="A18" s="4">
        <v>5</v>
      </c>
      <c r="B18" s="4" t="s">
        <v>41</v>
      </c>
      <c r="C18" s="4" t="s">
        <v>42</v>
      </c>
      <c r="D18" s="5">
        <v>26</v>
      </c>
      <c r="E18" s="6"/>
    </row>
    <row r="19" spans="1:5" ht="20.100000000000001" customHeight="1" x14ac:dyDescent="0.25">
      <c r="A19" s="7">
        <v>6</v>
      </c>
      <c r="B19" s="7" t="s">
        <v>42</v>
      </c>
      <c r="C19" s="7" t="s">
        <v>43</v>
      </c>
      <c r="D19" s="8">
        <v>14</v>
      </c>
      <c r="E19" s="9"/>
    </row>
    <row r="20" spans="1:5" ht="20.100000000000001" customHeight="1" x14ac:dyDescent="0.25">
      <c r="A20" s="4">
        <v>7</v>
      </c>
      <c r="B20" s="4" t="s">
        <v>43</v>
      </c>
      <c r="C20" s="4" t="s">
        <v>44</v>
      </c>
      <c r="D20" s="5">
        <v>30</v>
      </c>
      <c r="E20" s="6"/>
    </row>
    <row r="21" spans="1:5" ht="20.100000000000001" customHeight="1" x14ac:dyDescent="0.25">
      <c r="A21" s="7">
        <v>8</v>
      </c>
      <c r="B21" s="7" t="s">
        <v>44</v>
      </c>
      <c r="C21" s="7" t="s">
        <v>45</v>
      </c>
      <c r="D21" s="8">
        <v>23</v>
      </c>
      <c r="E21" s="9"/>
    </row>
    <row r="22" spans="1:5" ht="20.100000000000001" customHeight="1" x14ac:dyDescent="0.25">
      <c r="A22" s="4">
        <v>9</v>
      </c>
      <c r="B22" s="4" t="s">
        <v>45</v>
      </c>
      <c r="C22" s="4" t="s">
        <v>46</v>
      </c>
      <c r="D22" s="5">
        <v>41</v>
      </c>
      <c r="E22" s="6"/>
    </row>
    <row r="23" spans="1:5" ht="20.100000000000001" customHeight="1" x14ac:dyDescent="0.25">
      <c r="A23" s="7">
        <v>10</v>
      </c>
      <c r="B23" s="7" t="s">
        <v>46</v>
      </c>
      <c r="C23" s="7" t="s">
        <v>47</v>
      </c>
      <c r="D23" s="8">
        <v>34</v>
      </c>
      <c r="E23" s="9"/>
    </row>
    <row r="24" spans="1:5" ht="20.100000000000001" customHeight="1" x14ac:dyDescent="0.25">
      <c r="A24" s="4">
        <v>11</v>
      </c>
      <c r="B24" s="4" t="s">
        <v>47</v>
      </c>
      <c r="C24" s="4" t="s">
        <v>48</v>
      </c>
      <c r="D24" s="5">
        <v>22</v>
      </c>
      <c r="E24" s="6"/>
    </row>
    <row r="25" spans="1:5" ht="20.100000000000001" customHeight="1" x14ac:dyDescent="0.25">
      <c r="A25" s="7">
        <v>12</v>
      </c>
      <c r="B25" s="7" t="s">
        <v>48</v>
      </c>
      <c r="C25" s="7" t="s">
        <v>37</v>
      </c>
      <c r="D25" s="8">
        <v>85</v>
      </c>
      <c r="E25" s="9"/>
    </row>
    <row r="26" spans="1:5" ht="21.95" customHeight="1" x14ac:dyDescent="0.25">
      <c r="A26" s="10" t="s">
        <v>24</v>
      </c>
      <c r="B26" s="15"/>
      <c r="C26" s="15"/>
      <c r="D26" s="12">
        <f>SUM(D14:D25)</f>
        <v>507</v>
      </c>
      <c r="E26" s="16"/>
    </row>
    <row r="27" spans="1:5" ht="21.95" customHeight="1" x14ac:dyDescent="0.25">
      <c r="A27" s="24" t="s">
        <v>80</v>
      </c>
      <c r="B27" s="25"/>
      <c r="C27" s="25"/>
      <c r="D27" s="25"/>
      <c r="E27" s="25"/>
    </row>
    <row r="28" spans="1:5" ht="20.100000000000001" customHeight="1" x14ac:dyDescent="0.25">
      <c r="A28" s="4">
        <v>1</v>
      </c>
      <c r="B28" s="4" t="s">
        <v>49</v>
      </c>
      <c r="C28" s="4" t="s">
        <v>50</v>
      </c>
      <c r="D28" s="5">
        <v>86</v>
      </c>
      <c r="E28" s="6"/>
    </row>
    <row r="29" spans="1:5" ht="20.100000000000001" customHeight="1" x14ac:dyDescent="0.25">
      <c r="A29" s="7">
        <v>2</v>
      </c>
      <c r="B29" s="7" t="s">
        <v>50</v>
      </c>
      <c r="C29" s="7" t="s">
        <v>51</v>
      </c>
      <c r="D29" s="8">
        <v>26</v>
      </c>
      <c r="E29" s="9"/>
    </row>
    <row r="30" spans="1:5" ht="20.100000000000001" customHeight="1" x14ac:dyDescent="0.25">
      <c r="A30" s="4">
        <v>3</v>
      </c>
      <c r="B30" s="4" t="s">
        <v>51</v>
      </c>
      <c r="C30" s="4" t="s">
        <v>52</v>
      </c>
      <c r="D30" s="5">
        <v>84</v>
      </c>
      <c r="E30" s="6"/>
    </row>
    <row r="31" spans="1:5" ht="20.100000000000001" customHeight="1" x14ac:dyDescent="0.25">
      <c r="A31" s="7">
        <v>4</v>
      </c>
      <c r="B31" s="7" t="s">
        <v>52</v>
      </c>
      <c r="C31" s="7" t="s">
        <v>49</v>
      </c>
      <c r="D31" s="8">
        <v>41</v>
      </c>
      <c r="E31" s="9"/>
    </row>
    <row r="32" spans="1:5" ht="21.95" customHeight="1" x14ac:dyDescent="0.25">
      <c r="A32" s="10" t="s">
        <v>24</v>
      </c>
      <c r="B32" s="15"/>
      <c r="C32" s="15"/>
      <c r="D32" s="12">
        <f>SUM(D28:D31)</f>
        <v>237</v>
      </c>
      <c r="E32" s="16"/>
    </row>
    <row r="33" spans="1:5" ht="21.95" customHeight="1" x14ac:dyDescent="0.25">
      <c r="A33" s="24" t="s">
        <v>82</v>
      </c>
      <c r="B33" s="25"/>
      <c r="C33" s="25"/>
      <c r="D33" s="25"/>
      <c r="E33" s="25"/>
    </row>
    <row r="34" spans="1:5" ht="20.100000000000001" customHeight="1" x14ac:dyDescent="0.25">
      <c r="A34" s="4">
        <v>1</v>
      </c>
      <c r="B34" s="4" t="s">
        <v>53</v>
      </c>
      <c r="C34" s="4" t="s">
        <v>54</v>
      </c>
      <c r="D34" s="5">
        <v>40</v>
      </c>
      <c r="E34" s="6"/>
    </row>
    <row r="35" spans="1:5" ht="20.100000000000001" customHeight="1" x14ac:dyDescent="0.25">
      <c r="A35" s="7">
        <v>2</v>
      </c>
      <c r="B35" s="7" t="s">
        <v>54</v>
      </c>
      <c r="C35" s="7" t="s">
        <v>55</v>
      </c>
      <c r="D35" s="8">
        <v>41</v>
      </c>
      <c r="E35" s="9"/>
    </row>
    <row r="36" spans="1:5" ht="20.100000000000001" customHeight="1" x14ac:dyDescent="0.25">
      <c r="A36" s="4">
        <v>3</v>
      </c>
      <c r="B36" s="4" t="s">
        <v>55</v>
      </c>
      <c r="C36" s="4" t="s">
        <v>56</v>
      </c>
      <c r="D36" s="5">
        <v>32</v>
      </c>
      <c r="E36" s="6"/>
    </row>
    <row r="37" spans="1:5" ht="20.100000000000001" customHeight="1" x14ac:dyDescent="0.25">
      <c r="A37" s="7">
        <v>4</v>
      </c>
      <c r="B37" s="7" t="s">
        <v>56</v>
      </c>
      <c r="C37" s="7" t="s">
        <v>57</v>
      </c>
      <c r="D37" s="8">
        <v>32</v>
      </c>
      <c r="E37" s="9"/>
    </row>
    <row r="38" spans="1:5" ht="20.100000000000001" customHeight="1" x14ac:dyDescent="0.25">
      <c r="A38" s="4">
        <v>5</v>
      </c>
      <c r="B38" s="4" t="s">
        <v>57</v>
      </c>
      <c r="C38" s="4" t="s">
        <v>58</v>
      </c>
      <c r="D38" s="5">
        <v>91</v>
      </c>
      <c r="E38" s="6"/>
    </row>
    <row r="39" spans="1:5" ht="20.100000000000001" customHeight="1" x14ac:dyDescent="0.25">
      <c r="A39" s="7">
        <v>6</v>
      </c>
      <c r="B39" s="7" t="s">
        <v>58</v>
      </c>
      <c r="C39" s="7" t="s">
        <v>53</v>
      </c>
      <c r="D39" s="8">
        <v>37</v>
      </c>
      <c r="E39" s="9"/>
    </row>
    <row r="40" spans="1:5" ht="21.95" customHeight="1" x14ac:dyDescent="0.25">
      <c r="A40" s="10" t="s">
        <v>24</v>
      </c>
      <c r="B40" s="15"/>
      <c r="C40" s="15"/>
      <c r="D40" s="12">
        <f>SUM(D34:D39)</f>
        <v>273</v>
      </c>
      <c r="E40" s="16"/>
    </row>
    <row r="42" spans="1:5" x14ac:dyDescent="0.25">
      <c r="A42" s="2"/>
      <c r="B42" s="1"/>
      <c r="C42" s="1"/>
      <c r="D42" s="1"/>
      <c r="E42" s="1"/>
    </row>
    <row r="43" spans="1:5" x14ac:dyDescent="0.25">
      <c r="A43" s="1"/>
      <c r="B43" s="1"/>
      <c r="C43" s="1"/>
      <c r="D43" s="1"/>
      <c r="E43" s="1"/>
    </row>
  </sheetData>
  <mergeCells count="14">
    <mergeCell ref="A42:E43"/>
    <mergeCell ref="A26:C26"/>
    <mergeCell ref="A27:E27"/>
    <mergeCell ref="A32:C32"/>
    <mergeCell ref="A33:E33"/>
    <mergeCell ref="A40:C40"/>
    <mergeCell ref="A5:E5"/>
    <mergeCell ref="A12:C12"/>
    <mergeCell ref="A13:E13"/>
    <mergeCell ref="A1:E2"/>
    <mergeCell ref="A3:A4"/>
    <mergeCell ref="B3:C3"/>
    <mergeCell ref="D3:D4"/>
    <mergeCell ref="E3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sqref="A1:E2"/>
    </sheetView>
  </sheetViews>
  <sheetFormatPr defaultRowHeight="15" x14ac:dyDescent="0.25"/>
  <cols>
    <col min="1" max="1" width="8" customWidth="1"/>
    <col min="2" max="3" width="32" customWidth="1"/>
    <col min="4" max="4" width="16" customWidth="1"/>
    <col min="5" max="5" width="20" customWidth="1"/>
  </cols>
  <sheetData>
    <row r="1" spans="1:5" ht="24.95" customHeight="1" x14ac:dyDescent="0.25">
      <c r="A1" s="14" t="s">
        <v>86</v>
      </c>
      <c r="B1" s="14"/>
      <c r="C1" s="14"/>
      <c r="D1" s="14"/>
      <c r="E1" s="14"/>
    </row>
    <row r="2" spans="1:5" ht="62.25" customHeight="1" x14ac:dyDescent="0.25">
      <c r="A2" s="14"/>
      <c r="B2" s="14"/>
      <c r="C2" s="14"/>
      <c r="D2" s="14"/>
      <c r="E2" s="14"/>
    </row>
    <row r="3" spans="1:5" s="3" customFormat="1" ht="21.95" customHeight="1" x14ac:dyDescent="0.25">
      <c r="A3" s="26" t="s">
        <v>0</v>
      </c>
      <c r="B3" s="26" t="s">
        <v>1</v>
      </c>
      <c r="C3" s="26"/>
      <c r="D3" s="26" t="s">
        <v>2</v>
      </c>
      <c r="E3" s="26" t="s">
        <v>3</v>
      </c>
    </row>
    <row r="4" spans="1:5" s="3" customFormat="1" ht="21.95" customHeight="1" x14ac:dyDescent="0.25">
      <c r="A4" s="26"/>
      <c r="B4" s="27" t="s">
        <v>4</v>
      </c>
      <c r="C4" s="27" t="s">
        <v>5</v>
      </c>
      <c r="D4" s="26"/>
      <c r="E4" s="26"/>
    </row>
    <row r="5" spans="1:5" ht="21.95" customHeight="1" x14ac:dyDescent="0.25">
      <c r="A5" s="24" t="s">
        <v>83</v>
      </c>
      <c r="B5" s="25"/>
      <c r="C5" s="25"/>
      <c r="D5" s="25"/>
      <c r="E5" s="25"/>
    </row>
    <row r="6" spans="1:5" ht="20.100000000000001" customHeight="1" x14ac:dyDescent="0.25">
      <c r="A6" s="4">
        <v>1</v>
      </c>
      <c r="B6" s="4" t="s">
        <v>59</v>
      </c>
      <c r="C6" s="4" t="s">
        <v>60</v>
      </c>
      <c r="D6" s="5">
        <v>51</v>
      </c>
      <c r="E6" s="6"/>
    </row>
    <row r="7" spans="1:5" ht="20.100000000000001" customHeight="1" x14ac:dyDescent="0.25">
      <c r="A7" s="7">
        <v>2</v>
      </c>
      <c r="B7" s="7" t="s">
        <v>60</v>
      </c>
      <c r="C7" s="7" t="s">
        <v>61</v>
      </c>
      <c r="D7" s="8">
        <v>155</v>
      </c>
      <c r="E7" s="9"/>
    </row>
    <row r="8" spans="1:5" ht="20.100000000000001" customHeight="1" x14ac:dyDescent="0.25">
      <c r="A8" s="4">
        <v>3</v>
      </c>
      <c r="B8" s="4" t="s">
        <v>61</v>
      </c>
      <c r="C8" s="4" t="s">
        <v>62</v>
      </c>
      <c r="D8" s="5">
        <v>45</v>
      </c>
      <c r="E8" s="6"/>
    </row>
    <row r="9" spans="1:5" ht="20.100000000000001" customHeight="1" x14ac:dyDescent="0.25">
      <c r="A9" s="7">
        <v>4</v>
      </c>
      <c r="B9" s="7" t="s">
        <v>62</v>
      </c>
      <c r="C9" s="7" t="s">
        <v>63</v>
      </c>
      <c r="D9" s="8">
        <v>53</v>
      </c>
      <c r="E9" s="9"/>
    </row>
    <row r="10" spans="1:5" ht="20.100000000000001" customHeight="1" x14ac:dyDescent="0.25">
      <c r="A10" s="4">
        <v>5</v>
      </c>
      <c r="B10" s="4" t="s">
        <v>63</v>
      </c>
      <c r="C10" s="4" t="s">
        <v>64</v>
      </c>
      <c r="D10" s="5">
        <v>45</v>
      </c>
      <c r="E10" s="6"/>
    </row>
    <row r="11" spans="1:5" ht="20.100000000000001" customHeight="1" x14ac:dyDescent="0.25">
      <c r="A11" s="7">
        <v>6</v>
      </c>
      <c r="B11" s="7" t="s">
        <v>64</v>
      </c>
      <c r="C11" s="7" t="s">
        <v>65</v>
      </c>
      <c r="D11" s="8">
        <v>179</v>
      </c>
      <c r="E11" s="9"/>
    </row>
    <row r="12" spans="1:5" ht="20.100000000000001" customHeight="1" x14ac:dyDescent="0.25">
      <c r="A12" s="4">
        <v>7</v>
      </c>
      <c r="B12" s="4" t="s">
        <v>65</v>
      </c>
      <c r="C12" s="4" t="s">
        <v>66</v>
      </c>
      <c r="D12" s="5">
        <v>33</v>
      </c>
      <c r="E12" s="6"/>
    </row>
    <row r="13" spans="1:5" ht="20.100000000000001" customHeight="1" x14ac:dyDescent="0.25">
      <c r="A13" s="7">
        <v>8</v>
      </c>
      <c r="B13" s="7" t="s">
        <v>66</v>
      </c>
      <c r="C13" s="7" t="s">
        <v>67</v>
      </c>
      <c r="D13" s="8">
        <v>37</v>
      </c>
      <c r="E13" s="9"/>
    </row>
    <row r="14" spans="1:5" ht="20.100000000000001" customHeight="1" x14ac:dyDescent="0.25">
      <c r="A14" s="4">
        <v>9</v>
      </c>
      <c r="B14" s="4" t="s">
        <v>67</v>
      </c>
      <c r="C14" s="4" t="s">
        <v>59</v>
      </c>
      <c r="D14" s="5">
        <v>60</v>
      </c>
      <c r="E14" s="6"/>
    </row>
    <row r="15" spans="1:5" ht="21.95" customHeight="1" x14ac:dyDescent="0.25">
      <c r="A15" s="10" t="s">
        <v>24</v>
      </c>
      <c r="B15" s="15"/>
      <c r="C15" s="15"/>
      <c r="D15" s="12">
        <f>SUM(D6:D14)</f>
        <v>658</v>
      </c>
      <c r="E15" s="16"/>
    </row>
    <row r="17" spans="1:5" x14ac:dyDescent="0.25">
      <c r="A17" s="2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</sheetData>
  <mergeCells count="8">
    <mergeCell ref="A15:C15"/>
    <mergeCell ref="A17:E18"/>
    <mergeCell ref="A5:E5"/>
    <mergeCell ref="A1:E2"/>
    <mergeCell ref="A3:A4"/>
    <mergeCell ref="B3:C3"/>
    <mergeCell ref="D3:D4"/>
    <mergeCell ref="E3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J17" sqref="J17"/>
    </sheetView>
  </sheetViews>
  <sheetFormatPr defaultRowHeight="15" x14ac:dyDescent="0.25"/>
  <cols>
    <col min="1" max="1" width="8" customWidth="1"/>
    <col min="2" max="3" width="32" customWidth="1"/>
    <col min="4" max="4" width="16" customWidth="1"/>
    <col min="5" max="5" width="20" customWidth="1"/>
  </cols>
  <sheetData>
    <row r="1" spans="1:5" ht="24.95" customHeight="1" x14ac:dyDescent="0.25">
      <c r="A1" s="14" t="s">
        <v>86</v>
      </c>
      <c r="B1" s="14"/>
      <c r="C1" s="14"/>
      <c r="D1" s="14"/>
      <c r="E1" s="14"/>
    </row>
    <row r="2" spans="1:5" ht="62.25" customHeight="1" x14ac:dyDescent="0.25">
      <c r="A2" s="14"/>
      <c r="B2" s="14"/>
      <c r="C2" s="14"/>
      <c r="D2" s="14"/>
      <c r="E2" s="14"/>
    </row>
    <row r="3" spans="1:5" s="3" customFormat="1" ht="21.95" customHeight="1" x14ac:dyDescent="0.25">
      <c r="A3" s="26" t="s">
        <v>0</v>
      </c>
      <c r="B3" s="26" t="s">
        <v>1</v>
      </c>
      <c r="C3" s="26"/>
      <c r="D3" s="26" t="s">
        <v>2</v>
      </c>
      <c r="E3" s="26" t="s">
        <v>3</v>
      </c>
    </row>
    <row r="4" spans="1:5" s="3" customFormat="1" ht="21.95" customHeight="1" x14ac:dyDescent="0.25">
      <c r="A4" s="26"/>
      <c r="B4" s="27" t="s">
        <v>4</v>
      </c>
      <c r="C4" s="27" t="s">
        <v>5</v>
      </c>
      <c r="D4" s="26"/>
      <c r="E4" s="26"/>
    </row>
    <row r="5" spans="1:5" ht="21.95" customHeight="1" x14ac:dyDescent="0.25">
      <c r="A5" s="24" t="s">
        <v>84</v>
      </c>
      <c r="B5" s="25"/>
      <c r="C5" s="25"/>
      <c r="D5" s="25"/>
      <c r="E5" s="25"/>
    </row>
    <row r="6" spans="1:5" ht="20.100000000000001" customHeight="1" x14ac:dyDescent="0.25">
      <c r="A6" s="4">
        <v>1</v>
      </c>
      <c r="B6" s="4" t="s">
        <v>68</v>
      </c>
      <c r="C6" s="4" t="s">
        <v>69</v>
      </c>
      <c r="D6" s="5">
        <v>45</v>
      </c>
      <c r="E6" s="6"/>
    </row>
    <row r="7" spans="1:5" ht="20.100000000000001" customHeight="1" x14ac:dyDescent="0.25">
      <c r="A7" s="7">
        <v>2</v>
      </c>
      <c r="B7" s="7" t="s">
        <v>69</v>
      </c>
      <c r="C7" s="7" t="s">
        <v>70</v>
      </c>
      <c r="D7" s="8">
        <v>69</v>
      </c>
      <c r="E7" s="9"/>
    </row>
    <row r="8" spans="1:5" ht="20.100000000000001" customHeight="1" x14ac:dyDescent="0.25">
      <c r="A8" s="4">
        <v>3</v>
      </c>
      <c r="B8" s="4" t="s">
        <v>70</v>
      </c>
      <c r="C8" s="4" t="s">
        <v>71</v>
      </c>
      <c r="D8" s="5">
        <v>68</v>
      </c>
      <c r="E8" s="6"/>
    </row>
    <row r="9" spans="1:5" ht="20.100000000000001" customHeight="1" x14ac:dyDescent="0.25">
      <c r="A9" s="7">
        <v>4</v>
      </c>
      <c r="B9" s="7" t="s">
        <v>71</v>
      </c>
      <c r="C9" s="7" t="s">
        <v>68</v>
      </c>
      <c r="D9" s="8">
        <v>61</v>
      </c>
      <c r="E9" s="9"/>
    </row>
    <row r="10" spans="1:5" ht="21.95" customHeight="1" x14ac:dyDescent="0.25">
      <c r="A10" s="10" t="s">
        <v>24</v>
      </c>
      <c r="B10" s="15"/>
      <c r="C10" s="15"/>
      <c r="D10" s="12">
        <f>SUM(D6:D9)</f>
        <v>243</v>
      </c>
      <c r="E10" s="16"/>
    </row>
    <row r="11" spans="1:5" ht="21.95" customHeight="1" x14ac:dyDescent="0.25">
      <c r="A11" s="24" t="s">
        <v>85</v>
      </c>
      <c r="B11" s="25"/>
      <c r="C11" s="25"/>
      <c r="D11" s="25"/>
      <c r="E11" s="25"/>
    </row>
    <row r="12" spans="1:5" ht="20.100000000000001" customHeight="1" x14ac:dyDescent="0.25">
      <c r="A12" s="4">
        <v>1</v>
      </c>
      <c r="B12" s="4" t="s">
        <v>72</v>
      </c>
      <c r="C12" s="4" t="s">
        <v>73</v>
      </c>
      <c r="D12" s="5">
        <v>30</v>
      </c>
      <c r="E12" s="6"/>
    </row>
    <row r="13" spans="1:5" ht="20.100000000000001" customHeight="1" x14ac:dyDescent="0.25">
      <c r="A13" s="7">
        <v>2</v>
      </c>
      <c r="B13" s="7" t="s">
        <v>73</v>
      </c>
      <c r="C13" s="7" t="s">
        <v>74</v>
      </c>
      <c r="D13" s="8">
        <v>38</v>
      </c>
      <c r="E13" s="9"/>
    </row>
    <row r="14" spans="1:5" ht="20.100000000000001" customHeight="1" x14ac:dyDescent="0.25">
      <c r="A14" s="4">
        <v>3</v>
      </c>
      <c r="B14" s="4" t="s">
        <v>74</v>
      </c>
      <c r="C14" s="4" t="s">
        <v>75</v>
      </c>
      <c r="D14" s="5">
        <v>15</v>
      </c>
      <c r="E14" s="6"/>
    </row>
    <row r="15" spans="1:5" ht="20.100000000000001" customHeight="1" x14ac:dyDescent="0.25">
      <c r="A15" s="7">
        <v>4</v>
      </c>
      <c r="B15" s="7" t="s">
        <v>75</v>
      </c>
      <c r="C15" s="7" t="s">
        <v>76</v>
      </c>
      <c r="D15" s="8">
        <v>40</v>
      </c>
      <c r="E15" s="9"/>
    </row>
    <row r="16" spans="1:5" ht="20.100000000000001" customHeight="1" x14ac:dyDescent="0.25">
      <c r="A16" s="4">
        <v>5</v>
      </c>
      <c r="B16" s="4" t="s">
        <v>76</v>
      </c>
      <c r="C16" s="4" t="s">
        <v>72</v>
      </c>
      <c r="D16" s="5">
        <v>38</v>
      </c>
      <c r="E16" s="6"/>
    </row>
    <row r="17" spans="1:5" ht="21.95" customHeight="1" x14ac:dyDescent="0.25">
      <c r="A17" s="10" t="s">
        <v>24</v>
      </c>
      <c r="B17" s="15"/>
      <c r="C17" s="15"/>
      <c r="D17" s="12">
        <f>SUM(D12:D16)</f>
        <v>161</v>
      </c>
      <c r="E17" s="16"/>
    </row>
    <row r="19" spans="1:5" x14ac:dyDescent="0.25">
      <c r="A19" s="2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</sheetData>
  <mergeCells count="10">
    <mergeCell ref="A5:E5"/>
    <mergeCell ref="A10:C10"/>
    <mergeCell ref="A11:E11"/>
    <mergeCell ref="A17:C17"/>
    <mergeCell ref="A19:E20"/>
    <mergeCell ref="A1:E2"/>
    <mergeCell ref="A3:A4"/>
    <mergeCell ref="B3:C3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Xalqlar Do'stligi MFY</vt:lpstr>
      <vt:lpstr>Fayziobod MFY</vt:lpstr>
      <vt:lpstr>Yangi Hayot MFY</vt:lpstr>
      <vt:lpstr>Hamid Olimjon MFY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Windows</cp:lastModifiedBy>
  <dcterms:created xsi:type="dcterms:W3CDTF">2026-08-10T05:55:36Z</dcterms:created>
  <dcterms:modified xsi:type="dcterms:W3CDTF">2026-08-10T06:29:16Z</dcterms:modified>
</cp:coreProperties>
</file>